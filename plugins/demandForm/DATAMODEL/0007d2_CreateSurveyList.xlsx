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AppData\Roaming\QGIS\QGIS3\profiles\default\python\plugins\demandForm\DATAMODEL\"/>
    </mc:Choice>
  </mc:AlternateContent>
  <xr:revisionPtr revIDLastSave="0" documentId="13_ncr:1_{F018F14C-F6B8-4E34-9EC7-6693B334A9BF}" xr6:coauthVersionLast="47" xr6:coauthVersionMax="47" xr10:uidLastSave="{00000000-0000-0000-0000-000000000000}"/>
  <bookViews>
    <workbookView xWindow="-120" yWindow="-120" windowWidth="51840" windowHeight="21120" xr2:uid="{37DC121B-DB6F-42E5-88E0-370653AE9A74}"/>
  </bookViews>
  <sheets>
    <sheet name="Survey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2" l="1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8" i="2"/>
  <c r="G5" i="2"/>
  <c r="G4" i="2"/>
  <c r="G29" i="2"/>
  <c r="G28" i="2"/>
  <c r="G27" i="2"/>
  <c r="G26" i="2"/>
  <c r="G25" i="2"/>
  <c r="G24" i="2"/>
  <c r="G23" i="2"/>
  <c r="G10" i="2"/>
  <c r="G11" i="2"/>
  <c r="G12" i="2"/>
  <c r="G13" i="2"/>
  <c r="G14" i="2"/>
  <c r="G15" i="2"/>
  <c r="G16" i="2"/>
  <c r="G17" i="2"/>
  <c r="G18" i="2"/>
  <c r="G19" i="2"/>
  <c r="G20" i="2"/>
  <c r="G9" i="2"/>
</calcChain>
</file>

<file path=xl/sharedStrings.xml><?xml version="1.0" encoding="utf-8"?>
<sst xmlns="http://schemas.openxmlformats.org/spreadsheetml/2006/main" count="40" uniqueCount="7">
  <si>
    <t>Saturday</t>
  </si>
  <si>
    <t>INSERT INTO demand."Surveys"("SurveyID",  "SurveyDay", "SurveyDate", "BeatStartTime", "BeatEndTime") VALUES (</t>
  </si>
  <si>
    <t>Wednesday</t>
  </si>
  <si>
    <t>Thursday</t>
  </si>
  <si>
    <t>Standard Lambeth</t>
  </si>
  <si>
    <t>Hourly beat (with overnight)</t>
  </si>
  <si>
    <t>Two hourly beat (with overnight)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</si>
</sst>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F6D1-524D-4603-BCD4-423EED1F217A}">
  <dimension ref="A1:G47"/>
  <sheetViews>
    <sheetView tabSelected="1" workbookViewId="0">
      <selection activeCell="G34" sqref="G34:G47"/>
    </sheetView>
  </sheetViews>
  <sheetFormatPr defaultRowHeight="15" x14ac:dyDescent="0.25"/>
  <cols>
    <col min="2" max="2" width="12.7109375" customWidth="1"/>
    <col min="3" max="3" width="10.7109375" bestFit="1" customWidth="1"/>
  </cols>
  <sheetData>
    <row r="1" spans="1:7" x14ac:dyDescent="0.25">
      <c r="A1" t="s">
        <v>1</v>
      </c>
    </row>
    <row r="3" spans="1:7" x14ac:dyDescent="0.25">
      <c r="A3" t="s">
        <v>4</v>
      </c>
    </row>
    <row r="4" spans="1:7" x14ac:dyDescent="0.25">
      <c r="A4">
        <v>101</v>
      </c>
      <c r="B4" t="s">
        <v>2</v>
      </c>
      <c r="C4" s="2">
        <v>45490</v>
      </c>
      <c r="D4" s="1">
        <v>2.0833333333333332E-2</v>
      </c>
      <c r="E4" s="1">
        <v>0.22916666666666666</v>
      </c>
      <c r="G4" t="str">
        <f>_xlfn.CONCAT($A$1, A4, ",'", B4, "','", TEXT(C4, "DD/MM/YYYY"), "','", TEXT(D4, "HHMM"), "','", TEXT(E4, "HHMM"), "');")</f>
        <v>INSERT INTO demand."Surveys"("SurveyID",  "SurveyDay", "SurveyDate", "BeatStartTime", "BeatEndTime") VALUES (101,'Wednesday','17/07/2024','0030','0530');</v>
      </c>
    </row>
    <row r="5" spans="1:7" x14ac:dyDescent="0.25">
      <c r="A5">
        <v>201</v>
      </c>
      <c r="B5" t="s">
        <v>3</v>
      </c>
      <c r="C5" s="2">
        <v>45491</v>
      </c>
      <c r="D5" s="1">
        <v>2.0833333333333332E-2</v>
      </c>
      <c r="E5" s="1">
        <v>0.22916666666666666</v>
      </c>
      <c r="G5" t="str">
        <f t="shared" ref="G5" si="0">_xlfn.CONCAT($A$1, A5, ",'", B5, "','", TEXT(C5, "DD/MM/YYYY"), "','", TEXT(D5, "HHMM"), "','", TEXT(E5, "HHMM"), "');")</f>
        <v>INSERT INTO demand."Surveys"("SurveyID",  "SurveyDay", "SurveyDate", "BeatStartTime", "BeatEndTime") VALUES (201,'Thursday','18/07/2024','0030','0530');</v>
      </c>
    </row>
    <row r="7" spans="1:7" x14ac:dyDescent="0.25">
      <c r="A7" t="s">
        <v>5</v>
      </c>
    </row>
    <row r="8" spans="1:7" x14ac:dyDescent="0.25">
      <c r="A8">
        <v>101</v>
      </c>
      <c r="B8" t="s">
        <v>3</v>
      </c>
      <c r="C8" s="2">
        <v>45491</v>
      </c>
      <c r="D8" s="1">
        <v>2.0833333333333332E-2</v>
      </c>
      <c r="E8" s="1">
        <v>0.22916666666666666</v>
      </c>
      <c r="G8" t="str">
        <f>_xlfn.CONCAT($A$1, A8, ",'", B8, "','", TEXT(C8, "DD/MM/YYYY"), "','", TEXT(D8, "HHMM"), "','", TEXT(E8, "HHMM"), "');")</f>
        <v>INSERT INTO demand."Surveys"("SurveyID",  "SurveyDay", "SurveyDate", "BeatStartTime", "BeatEndTime") VALUES (101,'Thursday','18/07/2024','0030','0530');</v>
      </c>
    </row>
    <row r="9" spans="1:7" x14ac:dyDescent="0.25">
      <c r="A9">
        <v>102</v>
      </c>
      <c r="B9" t="s">
        <v>3</v>
      </c>
      <c r="C9" s="2">
        <v>45491</v>
      </c>
      <c r="D9" s="1">
        <v>0.29166666666666669</v>
      </c>
      <c r="E9" s="1">
        <v>0.33333333333333331</v>
      </c>
      <c r="G9" t="str">
        <f>_xlfn.CONCAT($A$1, A9, ",'", B9, "','", TEXT(C9, "DD/MM/YYYY"), "','", TEXT(D9, "HHMM"), "','", TEXT(E9, "HHMM"), "');")</f>
        <v>INSERT INTO demand."Surveys"("SurveyID",  "SurveyDay", "SurveyDate", "BeatStartTime", "BeatEndTime") VALUES (102,'Thursday','18/07/2024','0700','0800');</v>
      </c>
    </row>
    <row r="10" spans="1:7" x14ac:dyDescent="0.25">
      <c r="A10">
        <v>103</v>
      </c>
      <c r="B10" t="s">
        <v>3</v>
      </c>
      <c r="C10" s="2">
        <v>45491</v>
      </c>
      <c r="D10" s="1">
        <v>0.33333333333333331</v>
      </c>
      <c r="E10" s="1">
        <v>0.375</v>
      </c>
      <c r="G10" t="str">
        <f t="shared" ref="G10:G20" si="1">_xlfn.CONCAT($A$1, A10, ",'", B10, "','", TEXT(C10, "DD/MM/YYYY"), "','", TEXT(D10, "HHMM"), "','", TEXT(E10, "HHMM"), "');")</f>
        <v>INSERT INTO demand."Surveys"("SurveyID",  "SurveyDay", "SurveyDate", "BeatStartTime", "BeatEndTime") VALUES (103,'Thursday','18/07/2024','0800','0900');</v>
      </c>
    </row>
    <row r="11" spans="1:7" x14ac:dyDescent="0.25">
      <c r="A11">
        <v>104</v>
      </c>
      <c r="B11" t="s">
        <v>3</v>
      </c>
      <c r="C11" s="2">
        <v>45491</v>
      </c>
      <c r="D11" s="1">
        <v>0.375</v>
      </c>
      <c r="E11" s="1">
        <v>0.41666666666666702</v>
      </c>
      <c r="G11" t="str">
        <f t="shared" si="1"/>
        <v>INSERT INTO demand."Surveys"("SurveyID",  "SurveyDay", "SurveyDate", "BeatStartTime", "BeatEndTime") VALUES (104,'Thursday','18/07/2024','0900','1000');</v>
      </c>
    </row>
    <row r="12" spans="1:7" x14ac:dyDescent="0.25">
      <c r="A12">
        <v>105</v>
      </c>
      <c r="B12" t="s">
        <v>3</v>
      </c>
      <c r="C12" s="2">
        <v>45491</v>
      </c>
      <c r="D12" s="1">
        <v>0.41666666666666702</v>
      </c>
      <c r="E12" s="1">
        <v>0.45833333333333298</v>
      </c>
      <c r="G12" t="str">
        <f t="shared" si="1"/>
        <v>INSERT INTO demand."Surveys"("SurveyID",  "SurveyDay", "SurveyDate", "BeatStartTime", "BeatEndTime") VALUES (105,'Thursday','18/07/2024','1000','1100');</v>
      </c>
    </row>
    <row r="13" spans="1:7" x14ac:dyDescent="0.25">
      <c r="A13">
        <v>106</v>
      </c>
      <c r="B13" t="s">
        <v>3</v>
      </c>
      <c r="C13" s="2">
        <v>45491</v>
      </c>
      <c r="D13" s="1">
        <v>0.45833333333333398</v>
      </c>
      <c r="E13" s="1">
        <v>0.5</v>
      </c>
      <c r="G13" t="str">
        <f t="shared" si="1"/>
        <v>INSERT INTO demand."Surveys"("SurveyID",  "SurveyDay", "SurveyDate", "BeatStartTime", "BeatEndTime") VALUES (106,'Thursday','18/07/2024','1100','1200');</v>
      </c>
    </row>
    <row r="14" spans="1:7" x14ac:dyDescent="0.25">
      <c r="A14">
        <v>107</v>
      </c>
      <c r="B14" t="s">
        <v>3</v>
      </c>
      <c r="C14" s="2">
        <v>45491</v>
      </c>
      <c r="D14" s="1">
        <v>0.5</v>
      </c>
      <c r="E14" s="1">
        <v>0.54166666666666596</v>
      </c>
      <c r="G14" t="str">
        <f t="shared" si="1"/>
        <v>INSERT INTO demand."Surveys"("SurveyID",  "SurveyDay", "SurveyDate", "BeatStartTime", "BeatEndTime") VALUES (107,'Thursday','18/07/2024','1200','1300');</v>
      </c>
    </row>
    <row r="15" spans="1:7" x14ac:dyDescent="0.25">
      <c r="A15">
        <v>108</v>
      </c>
      <c r="B15" t="s">
        <v>3</v>
      </c>
      <c r="C15" s="2">
        <v>45491</v>
      </c>
      <c r="D15" s="1">
        <v>0.54166666666666696</v>
      </c>
      <c r="E15" s="1">
        <v>0.58333333333333304</v>
      </c>
      <c r="G15" t="str">
        <f t="shared" si="1"/>
        <v>INSERT INTO demand."Surveys"("SurveyID",  "SurveyDay", "SurveyDate", "BeatStartTime", "BeatEndTime") VALUES (108,'Thursday','18/07/2024','1300','1400');</v>
      </c>
    </row>
    <row r="16" spans="1:7" x14ac:dyDescent="0.25">
      <c r="A16">
        <v>109</v>
      </c>
      <c r="B16" t="s">
        <v>3</v>
      </c>
      <c r="C16" s="2">
        <v>45491</v>
      </c>
      <c r="D16" s="1">
        <v>0.58333333333333304</v>
      </c>
      <c r="E16" s="1">
        <v>0.625</v>
      </c>
      <c r="G16" t="str">
        <f t="shared" si="1"/>
        <v>INSERT INTO demand."Surveys"("SurveyID",  "SurveyDay", "SurveyDate", "BeatStartTime", "BeatEndTime") VALUES (109,'Thursday','18/07/2024','1400','1500');</v>
      </c>
    </row>
    <row r="17" spans="1:7" x14ac:dyDescent="0.25">
      <c r="A17">
        <v>110</v>
      </c>
      <c r="B17" t="s">
        <v>3</v>
      </c>
      <c r="C17" s="2">
        <v>45491</v>
      </c>
      <c r="D17" s="1">
        <v>0.625</v>
      </c>
      <c r="E17" s="1">
        <v>0.66666666666666596</v>
      </c>
      <c r="G17" t="str">
        <f t="shared" si="1"/>
        <v>INSERT INTO demand."Surveys"("SurveyID",  "SurveyDay", "SurveyDate", "BeatStartTime", "BeatEndTime") VALUES (110,'Thursday','18/07/2024','1500','1600');</v>
      </c>
    </row>
    <row r="18" spans="1:7" x14ac:dyDescent="0.25">
      <c r="A18">
        <v>111</v>
      </c>
      <c r="B18" t="s">
        <v>3</v>
      </c>
      <c r="C18" s="2">
        <v>45491</v>
      </c>
      <c r="D18" s="1">
        <v>0.66666666666666696</v>
      </c>
      <c r="E18" s="1">
        <v>0.70833333333333304</v>
      </c>
      <c r="G18" t="str">
        <f t="shared" si="1"/>
        <v>INSERT INTO demand."Surveys"("SurveyID",  "SurveyDay", "SurveyDate", "BeatStartTime", "BeatEndTime") VALUES (111,'Thursday','18/07/2024','1600','1700');</v>
      </c>
    </row>
    <row r="19" spans="1:7" x14ac:dyDescent="0.25">
      <c r="A19">
        <v>112</v>
      </c>
      <c r="B19" t="s">
        <v>3</v>
      </c>
      <c r="C19" s="2">
        <v>45491</v>
      </c>
      <c r="D19" s="1">
        <v>0.70833333333333304</v>
      </c>
      <c r="E19" s="1">
        <v>0.75</v>
      </c>
      <c r="G19" t="str">
        <f t="shared" si="1"/>
        <v>INSERT INTO demand."Surveys"("SurveyID",  "SurveyDay", "SurveyDate", "BeatStartTime", "BeatEndTime") VALUES (112,'Thursday','18/07/2024','1700','1800');</v>
      </c>
    </row>
    <row r="20" spans="1:7" x14ac:dyDescent="0.25">
      <c r="A20">
        <v>113</v>
      </c>
      <c r="B20" t="s">
        <v>3</v>
      </c>
      <c r="C20" s="2">
        <v>45491</v>
      </c>
      <c r="D20" s="1">
        <v>0.75</v>
      </c>
      <c r="E20" s="1">
        <v>0.79166666666666696</v>
      </c>
      <c r="G20" t="str">
        <f t="shared" si="1"/>
        <v>INSERT INTO demand."Surveys"("SurveyID",  "SurveyDay", "SurveyDate", "BeatStartTime", "BeatEndTime") VALUES (113,'Thursday','18/07/2024','1800','1900');</v>
      </c>
    </row>
    <row r="21" spans="1:7" x14ac:dyDescent="0.25">
      <c r="C21" s="2"/>
      <c r="D21" s="1"/>
      <c r="E21" s="1"/>
    </row>
    <row r="22" spans="1:7" x14ac:dyDescent="0.25">
      <c r="A22" t="s">
        <v>6</v>
      </c>
      <c r="C22" s="2"/>
      <c r="D22" s="1"/>
      <c r="E22" s="1"/>
    </row>
    <row r="23" spans="1:7" x14ac:dyDescent="0.25">
      <c r="A23">
        <v>101</v>
      </c>
      <c r="B23" t="s">
        <v>3</v>
      </c>
      <c r="C23" s="2">
        <v>45890</v>
      </c>
      <c r="D23" s="1">
        <v>2.0833333333333332E-2</v>
      </c>
      <c r="E23" s="1">
        <v>0.22916666666666666</v>
      </c>
      <c r="G23" t="str">
        <f>_xlfn.CONCAT($A$1, A23, ",'", B23, "','", TEXT(C23, "DD/MM/YYYY"), "','", TEXT(D23, "HHMM"), "','", TEXT(E23, "HHMM"), "');")</f>
        <v>INSERT INTO demand."Surveys"("SurveyID",  "SurveyDay", "SurveyDate", "BeatStartTime", "BeatEndTime") VALUES (101,'Thursday','21/08/2025','0030','0530');</v>
      </c>
    </row>
    <row r="24" spans="1:7" x14ac:dyDescent="0.25">
      <c r="A24">
        <v>102</v>
      </c>
      <c r="B24" t="s">
        <v>3</v>
      </c>
      <c r="C24" s="2">
        <v>45890</v>
      </c>
      <c r="D24" s="1">
        <v>0.29166666666666669</v>
      </c>
      <c r="E24" s="1">
        <v>0.375</v>
      </c>
      <c r="G24" t="str">
        <f t="shared" ref="G24:G29" si="2">_xlfn.CONCAT($A$1, A24, ",'", B24, "','", TEXT(C24, "DD/MM/YYYY"), "','", TEXT(D24, "HHMM"), "','", TEXT(E24, "HHMM"), "');")</f>
        <v>INSERT INTO demand."Surveys"("SurveyID",  "SurveyDay", "SurveyDate", "BeatStartTime", "BeatEndTime") VALUES (102,'Thursday','21/08/2025','0700','0900');</v>
      </c>
    </row>
    <row r="25" spans="1:7" x14ac:dyDescent="0.25">
      <c r="A25">
        <v>103</v>
      </c>
      <c r="B25" t="s">
        <v>3</v>
      </c>
      <c r="C25" s="2">
        <v>45890</v>
      </c>
      <c r="D25" s="1">
        <v>0.375</v>
      </c>
      <c r="E25" s="1">
        <v>0.45833333333333331</v>
      </c>
      <c r="G25" t="str">
        <f t="shared" si="2"/>
        <v>INSERT INTO demand."Surveys"("SurveyID",  "SurveyDay", "SurveyDate", "BeatStartTime", "BeatEndTime") VALUES (103,'Thursday','21/08/2025','0900','1100');</v>
      </c>
    </row>
    <row r="26" spans="1:7" x14ac:dyDescent="0.25">
      <c r="A26">
        <v>104</v>
      </c>
      <c r="B26" t="s">
        <v>3</v>
      </c>
      <c r="C26" s="2">
        <v>45890</v>
      </c>
      <c r="D26" s="1">
        <v>0.45833333333333331</v>
      </c>
      <c r="E26" s="1">
        <v>0.54166666666666663</v>
      </c>
      <c r="G26" t="str">
        <f t="shared" si="2"/>
        <v>INSERT INTO demand."Surveys"("SurveyID",  "SurveyDay", "SurveyDate", "BeatStartTime", "BeatEndTime") VALUES (104,'Thursday','21/08/2025','1100','1300');</v>
      </c>
    </row>
    <row r="27" spans="1:7" x14ac:dyDescent="0.25">
      <c r="A27">
        <v>105</v>
      </c>
      <c r="B27" t="s">
        <v>3</v>
      </c>
      <c r="C27" s="2">
        <v>45890</v>
      </c>
      <c r="D27" s="1">
        <v>0.54166666666666663</v>
      </c>
      <c r="E27" s="1">
        <v>0.625</v>
      </c>
      <c r="G27" t="str">
        <f t="shared" si="2"/>
        <v>INSERT INTO demand."Surveys"("SurveyID",  "SurveyDay", "SurveyDate", "BeatStartTime", "BeatEndTime") VALUES (105,'Thursday','21/08/2025','1300','1500');</v>
      </c>
    </row>
    <row r="28" spans="1:7" x14ac:dyDescent="0.25">
      <c r="A28">
        <v>106</v>
      </c>
      <c r="B28" t="s">
        <v>3</v>
      </c>
      <c r="C28" s="2">
        <v>45890</v>
      </c>
      <c r="D28" s="1">
        <v>0.625</v>
      </c>
      <c r="E28" s="1">
        <v>0.70833333333333337</v>
      </c>
      <c r="G28" t="str">
        <f t="shared" si="2"/>
        <v>INSERT INTO demand."Surveys"("SurveyID",  "SurveyDay", "SurveyDate", "BeatStartTime", "BeatEndTime") VALUES (106,'Thursday','21/08/2025','1500','1700');</v>
      </c>
    </row>
    <row r="29" spans="1:7" x14ac:dyDescent="0.25">
      <c r="A29">
        <v>107</v>
      </c>
      <c r="B29" t="s">
        <v>3</v>
      </c>
      <c r="C29" s="2">
        <v>45890</v>
      </c>
      <c r="D29" s="1">
        <v>0.70833333333333337</v>
      </c>
      <c r="E29" s="1">
        <v>0.79166666666666663</v>
      </c>
      <c r="G29" t="str">
        <f t="shared" si="2"/>
        <v>INSERT INTO demand."Surveys"("SurveyID",  "SurveyDay", "SurveyDate", "BeatStartTime", "BeatEndTime") VALUES (107,'Thursday','21/08/2025','1700','1900');</v>
      </c>
    </row>
    <row r="30" spans="1:7" x14ac:dyDescent="0.25">
      <c r="C30" s="2"/>
      <c r="D30" s="1"/>
      <c r="E30" s="1"/>
    </row>
    <row r="31" spans="1:7" x14ac:dyDescent="0.25">
      <c r="C31" s="2"/>
      <c r="D31" s="1"/>
      <c r="E31" s="1"/>
    </row>
    <row r="32" spans="1:7" x14ac:dyDescent="0.25">
      <c r="C32" s="2"/>
      <c r="D32" s="1"/>
      <c r="E32" s="1"/>
    </row>
    <row r="34" spans="1:7" x14ac:dyDescent="0.25">
      <c r="A34">
        <v>201</v>
      </c>
      <c r="B34" t="s">
        <v>0</v>
      </c>
      <c r="C34" s="2">
        <v>45892</v>
      </c>
      <c r="D34" s="1">
        <v>2.0833333333333332E-2</v>
      </c>
      <c r="E34" s="1">
        <v>0.22916666666666666</v>
      </c>
      <c r="G34" t="str">
        <f>_xlfn.CONCAT($A$1, A34, ",'", B34, "','", TEXT(C34, "DD/MM/YYYY"), "','", TEXT(D34, "HHMM"), "','", TEXT(E34, "HHMM"), "');")</f>
        <v>INSERT INTO demand."Surveys"("SurveyID",  "SurveyDay", "SurveyDate", "BeatStartTime", "BeatEndTime") VALUES (201,'Saturday','23/08/2025','0030','0530');</v>
      </c>
    </row>
    <row r="35" spans="1:7" x14ac:dyDescent="0.25">
      <c r="A35">
        <v>202</v>
      </c>
      <c r="B35" t="s">
        <v>0</v>
      </c>
      <c r="C35" s="2">
        <v>45892</v>
      </c>
      <c r="D35" s="1">
        <v>0.29166666666666669</v>
      </c>
      <c r="E35" s="1">
        <v>0.33333333333333331</v>
      </c>
      <c r="G35" t="str">
        <f>_xlfn.CONCAT($A$1, A35, ",'", B35, "','", TEXT(C35, "DD/MM/YYYY"), "','", TEXT(D35, "HHMM"), "','", TEXT(E35, "HHMM"), "');")</f>
        <v>INSERT INTO demand."Surveys"("SurveyID",  "SurveyDay", "SurveyDate", "BeatStartTime", "BeatEndTime") VALUES (202,'Saturday','23/08/2025','0700','0800');</v>
      </c>
    </row>
    <row r="36" spans="1:7" x14ac:dyDescent="0.25">
      <c r="A36">
        <v>203</v>
      </c>
      <c r="B36" t="s">
        <v>0</v>
      </c>
      <c r="C36" s="2">
        <v>45892</v>
      </c>
      <c r="D36" s="1">
        <v>0.33333333333333331</v>
      </c>
      <c r="E36" s="1">
        <v>0.375</v>
      </c>
      <c r="G36" t="str">
        <f t="shared" ref="G36:G47" si="3">_xlfn.CONCAT($A$1, A36, ",'", B36, "','", TEXT(C36, "DD/MM/YYYY"), "','", TEXT(D36, "HHMM"), "','", TEXT(E36, "HHMM"), "');")</f>
        <v>INSERT INTO demand."Surveys"("SurveyID",  "SurveyDay", "SurveyDate", "BeatStartTime", "BeatEndTime") VALUES (203,'Saturday','23/08/2025','0800','0900');</v>
      </c>
    </row>
    <row r="37" spans="1:7" x14ac:dyDescent="0.25">
      <c r="A37">
        <v>204</v>
      </c>
      <c r="B37" t="s">
        <v>0</v>
      </c>
      <c r="C37" s="2">
        <v>45892</v>
      </c>
      <c r="D37" s="1">
        <v>0.375</v>
      </c>
      <c r="E37" s="1">
        <v>0.41666666666666702</v>
      </c>
      <c r="G37" t="str">
        <f t="shared" si="3"/>
        <v>INSERT INTO demand."Surveys"("SurveyID",  "SurveyDay", "SurveyDate", "BeatStartTime", "BeatEndTime") VALUES (204,'Saturday','23/08/2025','0900','1000');</v>
      </c>
    </row>
    <row r="38" spans="1:7" x14ac:dyDescent="0.25">
      <c r="A38">
        <v>205</v>
      </c>
      <c r="B38" t="s">
        <v>0</v>
      </c>
      <c r="C38" s="2">
        <v>45892</v>
      </c>
      <c r="D38" s="1">
        <v>0.41666666666666702</v>
      </c>
      <c r="E38" s="1">
        <v>0.45833333333333298</v>
      </c>
      <c r="G38" t="str">
        <f t="shared" si="3"/>
        <v>INSERT INTO demand."Surveys"("SurveyID",  "SurveyDay", "SurveyDate", "BeatStartTime", "BeatEndTime") VALUES (205,'Saturday','23/08/2025','1000','1100');</v>
      </c>
    </row>
    <row r="39" spans="1:7" x14ac:dyDescent="0.25">
      <c r="A39">
        <v>206</v>
      </c>
      <c r="B39" t="s">
        <v>0</v>
      </c>
      <c r="C39" s="2">
        <v>45892</v>
      </c>
      <c r="D39" s="1">
        <v>0.45833333333333398</v>
      </c>
      <c r="E39" s="1">
        <v>0.5</v>
      </c>
      <c r="G39" t="str">
        <f t="shared" si="3"/>
        <v>INSERT INTO demand."Surveys"("SurveyID",  "SurveyDay", "SurveyDate", "BeatStartTime", "BeatEndTime") VALUES (206,'Saturday','23/08/2025','1100','1200');</v>
      </c>
    </row>
    <row r="40" spans="1:7" x14ac:dyDescent="0.25">
      <c r="A40">
        <v>207</v>
      </c>
      <c r="B40" t="s">
        <v>0</v>
      </c>
      <c r="C40" s="2">
        <v>45892</v>
      </c>
      <c r="D40" s="1">
        <v>0.5</v>
      </c>
      <c r="E40" s="1">
        <v>0.54166666666666596</v>
      </c>
      <c r="G40" t="str">
        <f t="shared" si="3"/>
        <v>INSERT INTO demand."Surveys"("SurveyID",  "SurveyDay", "SurveyDate", "BeatStartTime", "BeatEndTime") VALUES (207,'Saturday','23/08/2025','1200','1300');</v>
      </c>
    </row>
    <row r="41" spans="1:7" x14ac:dyDescent="0.25">
      <c r="A41">
        <v>208</v>
      </c>
      <c r="B41" t="s">
        <v>0</v>
      </c>
      <c r="C41" s="2">
        <v>45892</v>
      </c>
      <c r="D41" s="1">
        <v>0.54166666666666696</v>
      </c>
      <c r="E41" s="1">
        <v>0.58333333333333304</v>
      </c>
      <c r="G41" t="str">
        <f t="shared" si="3"/>
        <v>INSERT INTO demand."Surveys"("SurveyID",  "SurveyDay", "SurveyDate", "BeatStartTime", "BeatEndTime") VALUES (208,'Saturday','23/08/2025','1300','1400');</v>
      </c>
    </row>
    <row r="42" spans="1:7" x14ac:dyDescent="0.25">
      <c r="A42">
        <v>209</v>
      </c>
      <c r="B42" t="s">
        <v>0</v>
      </c>
      <c r="C42" s="2">
        <v>45892</v>
      </c>
      <c r="D42" s="1">
        <v>0.58333333333333304</v>
      </c>
      <c r="E42" s="1">
        <v>0.625</v>
      </c>
      <c r="G42" t="str">
        <f t="shared" si="3"/>
        <v>INSERT INTO demand."Surveys"("SurveyID",  "SurveyDay", "SurveyDate", "BeatStartTime", "BeatEndTime") VALUES (209,'Saturday','23/08/2025','1400','1500');</v>
      </c>
    </row>
    <row r="43" spans="1:7" x14ac:dyDescent="0.25">
      <c r="A43">
        <v>210</v>
      </c>
      <c r="B43" t="s">
        <v>0</v>
      </c>
      <c r="C43" s="2">
        <v>45892</v>
      </c>
      <c r="D43" s="1">
        <v>0.625</v>
      </c>
      <c r="E43" s="1">
        <v>0.66666666666666596</v>
      </c>
      <c r="G43" t="str">
        <f t="shared" si="3"/>
        <v>INSERT INTO demand."Surveys"("SurveyID",  "SurveyDay", "SurveyDate", "BeatStartTime", "BeatEndTime") VALUES (210,'Saturday','23/08/2025','1500','1600');</v>
      </c>
    </row>
    <row r="44" spans="1:7" x14ac:dyDescent="0.25">
      <c r="A44">
        <v>211</v>
      </c>
      <c r="B44" t="s">
        <v>0</v>
      </c>
      <c r="C44" s="2">
        <v>45892</v>
      </c>
      <c r="D44" s="1">
        <v>0.66666666666666696</v>
      </c>
      <c r="E44" s="1">
        <v>0.70833333333333304</v>
      </c>
      <c r="G44" t="str">
        <f t="shared" si="3"/>
        <v>INSERT INTO demand."Surveys"("SurveyID",  "SurveyDay", "SurveyDate", "BeatStartTime", "BeatEndTime") VALUES (211,'Saturday','23/08/2025','1600','1700');</v>
      </c>
    </row>
    <row r="45" spans="1:7" x14ac:dyDescent="0.25">
      <c r="A45">
        <v>212</v>
      </c>
      <c r="B45" t="s">
        <v>0</v>
      </c>
      <c r="C45" s="2">
        <v>45892</v>
      </c>
      <c r="D45" s="1">
        <v>0.70833333333333304</v>
      </c>
      <c r="E45" s="1">
        <v>0.75</v>
      </c>
      <c r="G45" t="str">
        <f t="shared" si="3"/>
        <v>INSERT INTO demand."Surveys"("SurveyID",  "SurveyDay", "SurveyDate", "BeatStartTime", "BeatEndTime") VALUES (212,'Saturday','23/08/2025','1700','1800');</v>
      </c>
    </row>
    <row r="46" spans="1:7" x14ac:dyDescent="0.25">
      <c r="A46">
        <v>213</v>
      </c>
      <c r="B46" t="s">
        <v>0</v>
      </c>
      <c r="C46" s="2">
        <v>45892</v>
      </c>
      <c r="D46" s="1">
        <v>0.75</v>
      </c>
      <c r="E46" s="1">
        <v>0.79166666666666696</v>
      </c>
      <c r="G46" t="str">
        <f t="shared" si="3"/>
        <v>INSERT INTO demand."Surveys"("SurveyID",  "SurveyDay", "SurveyDate", "BeatStartTime", "BeatEndTime") VALUES (213,'Saturday','23/08/2025','1800','1900');</v>
      </c>
    </row>
    <row r="47" spans="1:7" x14ac:dyDescent="0.25">
      <c r="A47">
        <v>214</v>
      </c>
      <c r="B47" t="s">
        <v>0</v>
      </c>
      <c r="C47" s="2">
        <v>45892</v>
      </c>
      <c r="D47" s="1">
        <v>0.79166666666666696</v>
      </c>
      <c r="E47" s="1">
        <v>0.83333333333333404</v>
      </c>
      <c r="G47" t="str">
        <f t="shared" si="3"/>
        <v>INSERT INTO demand."Surveys"("SurveyID",  "SurveyDay", "SurveyDate", "BeatStartTime", "BeatEndTime") VALUES (214,'Saturday','23/08/2025','1900','2000');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Hancock</dc:creator>
  <cp:lastModifiedBy>Tim Hancock</cp:lastModifiedBy>
  <dcterms:created xsi:type="dcterms:W3CDTF">2021-06-23T08:05:34Z</dcterms:created>
  <dcterms:modified xsi:type="dcterms:W3CDTF">2025-09-08T11:25:26Z</dcterms:modified>
</cp:coreProperties>
</file>